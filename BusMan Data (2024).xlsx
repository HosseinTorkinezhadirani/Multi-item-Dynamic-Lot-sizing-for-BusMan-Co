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ossein\Desktop\Second Semester - Master\INDR460 - Operations Reseacrh Application\Case Assignments\Case Assignment 1\"/>
    </mc:Choice>
  </mc:AlternateContent>
  <xr:revisionPtr revIDLastSave="0" documentId="13_ncr:1_{3CB1945A-FE7E-41FD-9C7D-6CE02EBA2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  <sheet name="Demand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3" l="1"/>
  <c r="Q4" i="3"/>
  <c r="P5" i="3"/>
  <c r="Q5" i="3"/>
  <c r="P6" i="3"/>
  <c r="Q6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Q3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3" i="3"/>
</calcChain>
</file>

<file path=xl/sharedStrings.xml><?xml version="1.0" encoding="utf-8"?>
<sst xmlns="http://schemas.openxmlformats.org/spreadsheetml/2006/main" count="49" uniqueCount="29">
  <si>
    <t>Fixed cost for each truck dispatched from the supplier (€):</t>
  </si>
  <si>
    <t>Product Number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</si>
  <si>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</si>
  <si>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</si>
  <si>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</si>
  <si>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</si>
  <si>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</si>
  <si>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</si>
  <si>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</si>
  <si>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</si>
  <si>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</si>
  <si>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</si>
  <si>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</si>
  <si>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</si>
  <si>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</si>
  <si>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</si>
  <si>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</si>
  <si>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</si>
  <si>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</si>
  <si>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</si>
  <si>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</si>
  <si>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</si>
  <si>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Holding Cost (€)</t>
  </si>
  <si>
    <t>Safety Stock</t>
  </si>
  <si>
    <t>Initial Stock</t>
  </si>
  <si>
    <t>Supplier limit</t>
  </si>
  <si>
    <t>Number of items that fit each pallet</t>
  </si>
  <si>
    <t>Number of pallets that fit a truck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</si>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</sst>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4" fontId="0" fillId="2" borderId="0" xfId="0" applyNumberFormat="1" applyFill="1"/>
    <xf numFmtId="0" fontId="1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I4" sqref="I4"/>
    </sheetView>
  </sheetViews>
  <sheetFormatPr defaultColWidth="9.21875" defaultRowHeight="13.2" x14ac:dyDescent="0.25"/>
  <cols>
    <col min="1" max="1" width="16.21875" style="2" customWidth="1"/>
    <col min="2" max="2" width="11.44140625" style="2" customWidth="1"/>
    <col min="3" max="3" width="9.77734375" style="2" customWidth="1"/>
    <col min="4" max="4" width="9.44140625" style="2" customWidth="1"/>
    <col min="5" max="5" width="17.44140625" style="2" customWidth="1"/>
    <col min="6" max="6" width="15.77734375" style="2" customWidth="1"/>
    <col min="7" max="7" width="8.6640625" style="2" customWidth="1"/>
    <col min="8" max="8" width="8.33203125" style="2" customWidth="1"/>
    <col min="9" max="16384" width="9.21875" style="2"/>
  </cols>
  <sheetData>
    <row r="1" spans="1:11" ht="12.75" customHeight="1" x14ac:dyDescent="0.25">
      <c r="A1" s="20" t="s">
        <v>0</v>
      </c>
      <c r="B1" s="20"/>
      <c r="C1" s="20"/>
      <c r="D1" s="20"/>
      <c r="E1" s="1">
        <v>160</v>
      </c>
    </row>
    <row r="3" spans="1:11" ht="27.6" x14ac:dyDescent="0.25">
      <c r="A3" s="7" t="s">
        <v>1</v>
      </c>
      <c r="B3" s="6" t="s">
        <v>22</v>
      </c>
      <c r="C3" s="6" t="s">
        <v>23</v>
      </c>
      <c r="D3" s="6" t="s">
        <v>24</v>
      </c>
      <c r="E3" s="6" t="s">
        <v>26</v>
      </c>
      <c r="F3" s="6" t="s">
        <v>27</v>
      </c>
      <c r="G3" s="6" t="s">
        <v>25</v>
      </c>
      <c r="H3" s="8"/>
      <c r="I3" s="8"/>
      <c r="J3" s="8"/>
      <c r="K3" s="8"/>
    </row>
    <row r="4" spans="1:11" ht="13.8" x14ac:dyDescent="0.3">
      <c r="A4" s="3" t="s">
        <v>2</v>
      </c>
      <c r="B4" s="4">
        <v>0.5</v>
      </c>
      <c r="C4" s="5">
        <v>14</v>
      </c>
      <c r="D4" s="5">
        <v>17</v>
      </c>
      <c r="E4" s="5">
        <v>16</v>
      </c>
      <c r="F4" s="5">
        <v>32</v>
      </c>
      <c r="G4" s="5">
        <v>50</v>
      </c>
    </row>
    <row r="5" spans="1:11" ht="13.8" x14ac:dyDescent="0.3">
      <c r="A5" s="3" t="s">
        <v>3</v>
      </c>
      <c r="B5" s="4">
        <v>0.6</v>
      </c>
      <c r="C5" s="5">
        <v>13</v>
      </c>
      <c r="D5" s="5">
        <v>20</v>
      </c>
      <c r="E5" s="5">
        <v>30</v>
      </c>
      <c r="F5" s="5">
        <v>16</v>
      </c>
      <c r="G5" s="5">
        <v>25</v>
      </c>
    </row>
    <row r="6" spans="1:11" ht="13.8" x14ac:dyDescent="0.3">
      <c r="A6" s="3" t="s">
        <v>4</v>
      </c>
      <c r="B6" s="4">
        <v>1.2</v>
      </c>
      <c r="C6" s="5">
        <v>14</v>
      </c>
      <c r="D6" s="5">
        <v>13</v>
      </c>
      <c r="E6" s="5">
        <v>10</v>
      </c>
      <c r="F6" s="5">
        <v>16</v>
      </c>
      <c r="G6" s="5">
        <v>45</v>
      </c>
    </row>
    <row r="7" spans="1:11" ht="13.8" x14ac:dyDescent="0.3">
      <c r="A7" s="3" t="s">
        <v>5</v>
      </c>
      <c r="B7" s="4">
        <v>1</v>
      </c>
      <c r="C7" s="5">
        <v>14</v>
      </c>
      <c r="D7" s="5">
        <v>24</v>
      </c>
      <c r="E7" s="5">
        <v>20</v>
      </c>
      <c r="F7" s="5">
        <v>16</v>
      </c>
      <c r="G7" s="5">
        <v>40</v>
      </c>
    </row>
    <row r="8" spans="1:11" ht="13.8" x14ac:dyDescent="0.3">
      <c r="A8" s="3" t="s">
        <v>6</v>
      </c>
      <c r="B8" s="4">
        <v>11</v>
      </c>
      <c r="C8" s="5">
        <v>4</v>
      </c>
      <c r="D8" s="5">
        <v>4</v>
      </c>
      <c r="E8" s="5">
        <v>1</v>
      </c>
      <c r="F8" s="5">
        <v>16</v>
      </c>
      <c r="G8" s="5">
        <v>10</v>
      </c>
    </row>
    <row r="9" spans="1:11" ht="13.8" x14ac:dyDescent="0.3">
      <c r="A9" s="3" t="s">
        <v>7</v>
      </c>
      <c r="B9" s="4">
        <v>9</v>
      </c>
      <c r="C9" s="5">
        <v>3</v>
      </c>
      <c r="D9" s="5">
        <v>0</v>
      </c>
      <c r="E9" s="5">
        <v>1</v>
      </c>
      <c r="F9" s="5">
        <v>10</v>
      </c>
      <c r="G9" s="5">
        <v>6</v>
      </c>
    </row>
    <row r="10" spans="1:11" ht="13.8" x14ac:dyDescent="0.3">
      <c r="A10" s="3" t="s">
        <v>8</v>
      </c>
      <c r="B10" s="4">
        <v>1.35</v>
      </c>
      <c r="C10" s="5">
        <v>6</v>
      </c>
      <c r="D10" s="5">
        <v>8</v>
      </c>
      <c r="E10" s="5">
        <v>1</v>
      </c>
      <c r="F10" s="5">
        <v>16</v>
      </c>
      <c r="G10" s="5">
        <v>20</v>
      </c>
    </row>
    <row r="11" spans="1:11" ht="13.8" x14ac:dyDescent="0.3">
      <c r="A11" s="3" t="s">
        <v>9</v>
      </c>
      <c r="B11" s="4">
        <v>1</v>
      </c>
      <c r="C11" s="5">
        <v>13</v>
      </c>
      <c r="D11" s="5">
        <v>23</v>
      </c>
      <c r="E11" s="5">
        <v>14</v>
      </c>
      <c r="F11" s="5">
        <v>10</v>
      </c>
      <c r="G11" s="5">
        <v>30</v>
      </c>
    </row>
    <row r="12" spans="1:11" ht="13.8" x14ac:dyDescent="0.3">
      <c r="A12" s="3" t="s">
        <v>10</v>
      </c>
      <c r="B12" s="4">
        <v>0.85</v>
      </c>
      <c r="C12" s="5">
        <v>15</v>
      </c>
      <c r="D12" s="5">
        <v>20</v>
      </c>
      <c r="E12" s="5">
        <v>20</v>
      </c>
      <c r="F12" s="5">
        <v>22</v>
      </c>
      <c r="G12" s="5">
        <v>35</v>
      </c>
    </row>
    <row r="13" spans="1:11" ht="13.8" x14ac:dyDescent="0.3">
      <c r="A13" s="3" t="s">
        <v>11</v>
      </c>
      <c r="B13" s="4">
        <v>1.25</v>
      </c>
      <c r="C13" s="5">
        <v>15</v>
      </c>
      <c r="D13" s="5">
        <v>20</v>
      </c>
      <c r="E13" s="5">
        <v>8</v>
      </c>
      <c r="F13" s="5">
        <v>16</v>
      </c>
      <c r="G13" s="5">
        <v>45</v>
      </c>
    </row>
    <row r="14" spans="1:11" ht="13.8" x14ac:dyDescent="0.3">
      <c r="A14" s="3" t="s">
        <v>12</v>
      </c>
      <c r="B14" s="4">
        <v>0.7</v>
      </c>
      <c r="C14" s="5">
        <v>13</v>
      </c>
      <c r="D14" s="5">
        <v>11</v>
      </c>
      <c r="E14" s="5">
        <v>10</v>
      </c>
      <c r="F14" s="5">
        <v>12</v>
      </c>
      <c r="G14" s="5">
        <v>45</v>
      </c>
    </row>
    <row r="15" spans="1:11" ht="13.8" x14ac:dyDescent="0.3">
      <c r="A15" s="3" t="s">
        <v>13</v>
      </c>
      <c r="B15" s="4">
        <v>1.35</v>
      </c>
      <c r="C15" s="5">
        <v>18</v>
      </c>
      <c r="D15" s="5">
        <v>6</v>
      </c>
      <c r="E15" s="5">
        <v>10</v>
      </c>
      <c r="F15" s="5">
        <v>12</v>
      </c>
      <c r="G15" s="5">
        <v>45</v>
      </c>
    </row>
    <row r="16" spans="1:11" ht="13.8" x14ac:dyDescent="0.3">
      <c r="A16" s="3" t="s">
        <v>14</v>
      </c>
      <c r="B16" s="4">
        <v>4</v>
      </c>
      <c r="C16" s="5">
        <v>18</v>
      </c>
      <c r="D16" s="5">
        <v>3</v>
      </c>
      <c r="E16" s="5">
        <v>10</v>
      </c>
      <c r="F16" s="5">
        <v>10</v>
      </c>
      <c r="G16" s="5">
        <v>70</v>
      </c>
    </row>
    <row r="17" spans="1:7" ht="13.8" x14ac:dyDescent="0.3">
      <c r="A17" s="3" t="s">
        <v>15</v>
      </c>
      <c r="B17" s="4">
        <v>0.5</v>
      </c>
      <c r="C17" s="5">
        <v>15</v>
      </c>
      <c r="D17" s="5">
        <v>19</v>
      </c>
      <c r="E17" s="5">
        <v>5</v>
      </c>
      <c r="F17" s="5">
        <v>10</v>
      </c>
      <c r="G17" s="5">
        <v>10</v>
      </c>
    </row>
    <row r="18" spans="1:7" ht="13.8" x14ac:dyDescent="0.3">
      <c r="A18" s="3" t="s">
        <v>16</v>
      </c>
      <c r="B18" s="4">
        <v>0.5</v>
      </c>
      <c r="C18" s="5">
        <v>14</v>
      </c>
      <c r="D18" s="5">
        <v>12</v>
      </c>
      <c r="E18" s="5">
        <v>5</v>
      </c>
      <c r="F18" s="5">
        <v>8</v>
      </c>
      <c r="G18" s="5">
        <v>20</v>
      </c>
    </row>
    <row r="19" spans="1:7" ht="13.8" x14ac:dyDescent="0.3">
      <c r="A19" s="3" t="s">
        <v>17</v>
      </c>
      <c r="B19" s="4">
        <v>0.75</v>
      </c>
      <c r="C19" s="5">
        <v>15</v>
      </c>
      <c r="D19" s="5">
        <v>13</v>
      </c>
      <c r="E19" s="5">
        <v>3</v>
      </c>
      <c r="F19" s="5">
        <v>24</v>
      </c>
      <c r="G19" s="5">
        <v>16</v>
      </c>
    </row>
    <row r="20" spans="1:7" ht="13.8" x14ac:dyDescent="0.3">
      <c r="A20" s="3" t="s">
        <v>18</v>
      </c>
      <c r="B20" s="4">
        <v>1.45</v>
      </c>
      <c r="C20" s="5">
        <v>10</v>
      </c>
      <c r="D20" s="5">
        <v>39</v>
      </c>
      <c r="E20" s="5">
        <v>30</v>
      </c>
      <c r="F20" s="5">
        <v>12</v>
      </c>
      <c r="G20" s="5">
        <v>20</v>
      </c>
    </row>
    <row r="21" spans="1:7" ht="13.8" x14ac:dyDescent="0.3">
      <c r="A21" s="3" t="s">
        <v>19</v>
      </c>
      <c r="B21" s="4">
        <v>1.25</v>
      </c>
      <c r="C21" s="5">
        <v>9</v>
      </c>
      <c r="D21" s="5">
        <v>0</v>
      </c>
      <c r="E21" s="5">
        <v>8</v>
      </c>
      <c r="F21" s="5">
        <v>16</v>
      </c>
      <c r="G21" s="5">
        <v>25</v>
      </c>
    </row>
    <row r="22" spans="1:7" ht="13.8" x14ac:dyDescent="0.3">
      <c r="A22" s="3" t="s">
        <v>20</v>
      </c>
      <c r="B22" s="4">
        <v>1.7</v>
      </c>
      <c r="C22" s="5">
        <v>6</v>
      </c>
      <c r="D22" s="5">
        <v>18</v>
      </c>
      <c r="E22" s="5">
        <v>1</v>
      </c>
      <c r="F22" s="5">
        <v>16</v>
      </c>
      <c r="G22" s="5">
        <v>10</v>
      </c>
    </row>
    <row r="23" spans="1:7" ht="13.8" x14ac:dyDescent="0.3">
      <c r="A23" s="3" t="s">
        <v>21</v>
      </c>
      <c r="B23" s="4">
        <v>1.4</v>
      </c>
      <c r="C23" s="5">
        <v>10</v>
      </c>
      <c r="D23" s="5">
        <v>31</v>
      </c>
      <c r="E23" s="5">
        <v>1</v>
      </c>
      <c r="F23" s="5">
        <v>12</v>
      </c>
      <c r="G23" s="5">
        <v>10</v>
      </c>
    </row>
    <row r="24" spans="1:7" x14ac:dyDescent="0.25">
      <c r="B24" s="19"/>
      <c r="C24" s="19"/>
      <c r="D24" s="19"/>
      <c r="E24" s="19"/>
      <c r="F24" s="19"/>
      <c r="G24" s="19"/>
    </row>
  </sheetData>
  <mergeCells count="1">
    <mergeCell ref="A1:D1"/>
  </mergeCells>
  <phoneticPr fontId="4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2"/>
  <sheetViews>
    <sheetView workbookViewId="0">
      <selection activeCell="S5" sqref="S5"/>
    </sheetView>
  </sheetViews>
  <sheetFormatPr defaultColWidth="9.21875" defaultRowHeight="13.2" x14ac:dyDescent="0.25"/>
  <cols>
    <col min="1" max="1" width="9.21875" style="2"/>
    <col min="2" max="2" width="6.6640625" style="2" bestFit="1" customWidth="1"/>
    <col min="3" max="14" width="7.44140625" style="2" bestFit="1" customWidth="1"/>
    <col min="15" max="16384" width="9.21875" style="2"/>
  </cols>
  <sheetData>
    <row r="1" spans="2:17" ht="13.8" thickBot="1" x14ac:dyDescent="0.3"/>
    <row r="2" spans="2:17" ht="13.8" x14ac:dyDescent="0.25">
      <c r="B2" s="18"/>
      <c r="C2" s="10">
        <v>1</v>
      </c>
      <c r="D2" s="10">
        <v>2</v>
      </c>
      <c r="E2" s="10">
        <v>3</v>
      </c>
      <c r="F2" s="10">
        <v>4</v>
      </c>
      <c r="G2" s="10">
        <v>5</v>
      </c>
      <c r="H2" s="10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  <c r="N2" s="11">
        <v>12</v>
      </c>
      <c r="O2" s="11" t="s">
        <v>28</v>
      </c>
    </row>
    <row r="3" spans="2:17" ht="13.8" x14ac:dyDescent="0.3">
      <c r="B3" s="12" t="s">
        <v>2</v>
      </c>
      <c r="C3" s="9">
        <v>45</v>
      </c>
      <c r="D3" s="9">
        <v>20</v>
      </c>
      <c r="E3" s="9">
        <v>20</v>
      </c>
      <c r="F3" s="9">
        <v>30</v>
      </c>
      <c r="G3" s="9">
        <v>20</v>
      </c>
      <c r="H3" s="9">
        <v>20</v>
      </c>
      <c r="I3" s="9">
        <v>20</v>
      </c>
      <c r="J3" s="9">
        <v>25</v>
      </c>
      <c r="K3" s="9">
        <v>30</v>
      </c>
      <c r="L3" s="9">
        <v>0</v>
      </c>
      <c r="M3" s="9">
        <v>70</v>
      </c>
      <c r="N3" s="13">
        <v>10</v>
      </c>
      <c r="O3" s="13">
        <f t="shared" ref="O3:O22" si="0">SUM(C3:N3)</f>
        <v>310</v>
      </c>
      <c r="P3" s="2">
        <f>STDEV(C3:N3)</f>
        <v>17.688380024151108</v>
      </c>
      <c r="Q3" s="2">
        <f>AVERAGE(C3:N3)</f>
        <v>25.833333333333332</v>
      </c>
    </row>
    <row r="4" spans="2:17" ht="13.8" x14ac:dyDescent="0.3">
      <c r="B4" s="12" t="s">
        <v>3</v>
      </c>
      <c r="C4" s="5">
        <v>21</v>
      </c>
      <c r="D4" s="5">
        <v>0</v>
      </c>
      <c r="E4" s="5">
        <v>10</v>
      </c>
      <c r="F4" s="5">
        <v>40</v>
      </c>
      <c r="G4" s="5">
        <v>20</v>
      </c>
      <c r="H4" s="5">
        <v>10</v>
      </c>
      <c r="I4" s="5">
        <v>20</v>
      </c>
      <c r="J4" s="5">
        <v>30</v>
      </c>
      <c r="K4" s="5">
        <v>10</v>
      </c>
      <c r="L4" s="5">
        <v>30</v>
      </c>
      <c r="M4" s="5">
        <v>15</v>
      </c>
      <c r="N4" s="14">
        <v>10</v>
      </c>
      <c r="O4" s="14">
        <f t="shared" si="0"/>
        <v>216</v>
      </c>
      <c r="P4" s="2">
        <f t="shared" ref="P4:P22" si="1">STDEV(C4:N4)</f>
        <v>11.192529976405122</v>
      </c>
      <c r="Q4" s="2">
        <f t="shared" ref="Q4:Q22" si="2">AVERAGE(C4:N4)</f>
        <v>18</v>
      </c>
    </row>
    <row r="5" spans="2:17" ht="13.8" x14ac:dyDescent="0.3">
      <c r="B5" s="12" t="s">
        <v>4</v>
      </c>
      <c r="C5" s="5">
        <v>40</v>
      </c>
      <c r="D5" s="5">
        <v>33</v>
      </c>
      <c r="E5" s="5">
        <v>40</v>
      </c>
      <c r="F5" s="5">
        <v>20</v>
      </c>
      <c r="G5" s="5">
        <v>0</v>
      </c>
      <c r="H5" s="5">
        <v>60</v>
      </c>
      <c r="I5" s="5">
        <v>8</v>
      </c>
      <c r="J5" s="5">
        <v>4</v>
      </c>
      <c r="K5" s="5">
        <v>20</v>
      </c>
      <c r="L5" s="5">
        <v>40</v>
      </c>
      <c r="M5" s="5">
        <v>20</v>
      </c>
      <c r="N5" s="14">
        <v>10</v>
      </c>
      <c r="O5" s="14">
        <f t="shared" si="0"/>
        <v>295</v>
      </c>
      <c r="P5" s="2">
        <f t="shared" si="1"/>
        <v>18.133135582700696</v>
      </c>
      <c r="Q5" s="2">
        <f t="shared" si="2"/>
        <v>24.583333333333332</v>
      </c>
    </row>
    <row r="6" spans="2:17" ht="13.8" x14ac:dyDescent="0.3">
      <c r="B6" s="12" t="s">
        <v>5</v>
      </c>
      <c r="C6" s="5">
        <v>40</v>
      </c>
      <c r="D6" s="5">
        <v>41</v>
      </c>
      <c r="E6" s="5">
        <v>40</v>
      </c>
      <c r="F6" s="5">
        <v>20</v>
      </c>
      <c r="G6" s="5">
        <v>3</v>
      </c>
      <c r="H6" s="5">
        <v>58</v>
      </c>
      <c r="I6" s="5">
        <v>0</v>
      </c>
      <c r="J6" s="5">
        <v>0</v>
      </c>
      <c r="K6" s="5">
        <v>60</v>
      </c>
      <c r="L6" s="5">
        <v>40</v>
      </c>
      <c r="M6" s="5">
        <v>8</v>
      </c>
      <c r="N6" s="14">
        <v>0</v>
      </c>
      <c r="O6" s="14">
        <f t="shared" si="0"/>
        <v>310</v>
      </c>
      <c r="P6" s="2">
        <f t="shared" si="1"/>
        <v>23.178490551423408</v>
      </c>
      <c r="Q6" s="2">
        <f t="shared" si="2"/>
        <v>25.833333333333332</v>
      </c>
    </row>
    <row r="7" spans="2:17" ht="13.8" x14ac:dyDescent="0.3">
      <c r="B7" s="12" t="s">
        <v>6</v>
      </c>
      <c r="C7" s="5">
        <v>7</v>
      </c>
      <c r="D7" s="5">
        <v>8</v>
      </c>
      <c r="E7" s="5">
        <v>0</v>
      </c>
      <c r="F7" s="5">
        <v>7</v>
      </c>
      <c r="G7" s="5">
        <v>7</v>
      </c>
      <c r="H7" s="5">
        <v>4</v>
      </c>
      <c r="I7" s="5">
        <v>6</v>
      </c>
      <c r="J7" s="5">
        <v>9</v>
      </c>
      <c r="K7" s="5">
        <v>15</v>
      </c>
      <c r="L7" s="5">
        <v>13</v>
      </c>
      <c r="M7" s="5">
        <v>0</v>
      </c>
      <c r="N7" s="14">
        <v>0</v>
      </c>
      <c r="O7" s="14">
        <f t="shared" si="0"/>
        <v>76</v>
      </c>
      <c r="P7" s="2">
        <f t="shared" si="1"/>
        <v>4.8304589153964796</v>
      </c>
      <c r="Q7" s="2">
        <f t="shared" si="2"/>
        <v>6.333333333333333</v>
      </c>
    </row>
    <row r="8" spans="2:17" ht="13.8" x14ac:dyDescent="0.3">
      <c r="B8" s="12" t="s">
        <v>7</v>
      </c>
      <c r="C8" s="5">
        <v>0</v>
      </c>
      <c r="D8" s="5">
        <v>1</v>
      </c>
      <c r="E8" s="5">
        <v>0</v>
      </c>
      <c r="F8" s="5">
        <v>2</v>
      </c>
      <c r="G8" s="5">
        <v>4</v>
      </c>
      <c r="H8" s="5">
        <v>21</v>
      </c>
      <c r="I8" s="5">
        <v>0</v>
      </c>
      <c r="J8" s="5">
        <v>4</v>
      </c>
      <c r="K8" s="5">
        <v>5</v>
      </c>
      <c r="L8" s="5">
        <v>0</v>
      </c>
      <c r="M8" s="5">
        <v>0</v>
      </c>
      <c r="N8" s="14">
        <v>0</v>
      </c>
      <c r="O8" s="14">
        <f t="shared" si="0"/>
        <v>37</v>
      </c>
      <c r="P8" s="2">
        <f t="shared" si="1"/>
        <v>5.9460962493101812</v>
      </c>
      <c r="Q8" s="2">
        <f t="shared" si="2"/>
        <v>3.0833333333333335</v>
      </c>
    </row>
    <row r="9" spans="2:17" ht="13.8" x14ac:dyDescent="0.3">
      <c r="B9" s="12" t="s">
        <v>8</v>
      </c>
      <c r="C9" s="5">
        <v>20</v>
      </c>
      <c r="D9" s="5">
        <v>0</v>
      </c>
      <c r="E9" s="5">
        <v>10</v>
      </c>
      <c r="F9" s="5">
        <v>0</v>
      </c>
      <c r="G9" s="5">
        <v>7</v>
      </c>
      <c r="H9" s="5">
        <v>16</v>
      </c>
      <c r="I9" s="5">
        <v>6</v>
      </c>
      <c r="J9" s="5">
        <v>0</v>
      </c>
      <c r="K9" s="5">
        <v>14</v>
      </c>
      <c r="L9" s="5">
        <v>6</v>
      </c>
      <c r="M9" s="5">
        <v>0</v>
      </c>
      <c r="N9" s="14">
        <v>0</v>
      </c>
      <c r="O9" s="14">
        <f t="shared" si="0"/>
        <v>79</v>
      </c>
      <c r="P9" s="2">
        <f t="shared" si="1"/>
        <v>7.0897920643098908</v>
      </c>
      <c r="Q9" s="2">
        <f t="shared" si="2"/>
        <v>6.583333333333333</v>
      </c>
    </row>
    <row r="10" spans="2:17" ht="13.8" x14ac:dyDescent="0.3">
      <c r="B10" s="12" t="s">
        <v>9</v>
      </c>
      <c r="C10" s="5">
        <v>28</v>
      </c>
      <c r="D10" s="5">
        <v>28</v>
      </c>
      <c r="E10" s="5">
        <v>7</v>
      </c>
      <c r="F10" s="5">
        <v>0</v>
      </c>
      <c r="G10" s="5">
        <v>0</v>
      </c>
      <c r="H10" s="5">
        <v>42</v>
      </c>
      <c r="I10" s="5">
        <v>42</v>
      </c>
      <c r="J10" s="5">
        <v>28</v>
      </c>
      <c r="K10" s="5">
        <v>14</v>
      </c>
      <c r="L10" s="5">
        <v>42</v>
      </c>
      <c r="M10" s="5">
        <v>14</v>
      </c>
      <c r="N10" s="14">
        <v>6</v>
      </c>
      <c r="O10" s="14">
        <f t="shared" si="0"/>
        <v>251</v>
      </c>
      <c r="P10" s="2">
        <f t="shared" si="1"/>
        <v>16.155259955891278</v>
      </c>
      <c r="Q10" s="2">
        <f t="shared" si="2"/>
        <v>20.916666666666668</v>
      </c>
    </row>
    <row r="11" spans="2:17" ht="13.8" x14ac:dyDescent="0.3">
      <c r="B11" s="12" t="s">
        <v>10</v>
      </c>
      <c r="C11" s="5">
        <v>30</v>
      </c>
      <c r="D11" s="5">
        <v>40</v>
      </c>
      <c r="E11" s="5">
        <v>0</v>
      </c>
      <c r="F11" s="5">
        <v>20</v>
      </c>
      <c r="G11" s="5">
        <v>10</v>
      </c>
      <c r="H11" s="5">
        <v>10</v>
      </c>
      <c r="I11" s="5">
        <v>103</v>
      </c>
      <c r="J11" s="5">
        <v>0</v>
      </c>
      <c r="K11" s="5">
        <v>30</v>
      </c>
      <c r="L11" s="5">
        <v>20</v>
      </c>
      <c r="M11" s="5">
        <v>60</v>
      </c>
      <c r="N11" s="14">
        <v>6</v>
      </c>
      <c r="O11" s="14">
        <f t="shared" si="0"/>
        <v>329</v>
      </c>
      <c r="P11" s="2">
        <f t="shared" si="1"/>
        <v>29.580270861545944</v>
      </c>
      <c r="Q11" s="2">
        <f t="shared" si="2"/>
        <v>27.416666666666668</v>
      </c>
    </row>
    <row r="12" spans="2:17" ht="13.8" x14ac:dyDescent="0.3">
      <c r="B12" s="12" t="s">
        <v>11</v>
      </c>
      <c r="C12" s="5">
        <v>43</v>
      </c>
      <c r="D12" s="5">
        <v>3</v>
      </c>
      <c r="E12" s="5">
        <v>40</v>
      </c>
      <c r="F12" s="5">
        <v>64</v>
      </c>
      <c r="G12" s="5">
        <v>0</v>
      </c>
      <c r="H12" s="5">
        <v>37</v>
      </c>
      <c r="I12" s="5">
        <v>114</v>
      </c>
      <c r="J12" s="5">
        <v>12</v>
      </c>
      <c r="K12" s="5">
        <v>20</v>
      </c>
      <c r="L12" s="5">
        <v>9</v>
      </c>
      <c r="M12" s="5">
        <v>16</v>
      </c>
      <c r="N12" s="14">
        <v>0</v>
      </c>
      <c r="O12" s="14">
        <f t="shared" si="0"/>
        <v>358</v>
      </c>
      <c r="P12" s="2">
        <f t="shared" si="1"/>
        <v>33.193190247216052</v>
      </c>
      <c r="Q12" s="2">
        <f t="shared" si="2"/>
        <v>29.833333333333332</v>
      </c>
    </row>
    <row r="13" spans="2:17" ht="13.8" x14ac:dyDescent="0.3">
      <c r="B13" s="12" t="s">
        <v>12</v>
      </c>
      <c r="C13" s="5">
        <v>41</v>
      </c>
      <c r="D13" s="5">
        <v>17</v>
      </c>
      <c r="E13" s="5">
        <v>23</v>
      </c>
      <c r="F13" s="5">
        <v>72</v>
      </c>
      <c r="G13" s="5">
        <v>17</v>
      </c>
      <c r="H13" s="5">
        <v>30</v>
      </c>
      <c r="I13" s="5">
        <v>30</v>
      </c>
      <c r="J13" s="5">
        <v>15</v>
      </c>
      <c r="K13" s="5">
        <v>12</v>
      </c>
      <c r="L13" s="5">
        <v>16</v>
      </c>
      <c r="M13" s="5">
        <v>10</v>
      </c>
      <c r="N13" s="14">
        <v>4</v>
      </c>
      <c r="O13" s="14">
        <f t="shared" si="0"/>
        <v>287</v>
      </c>
      <c r="P13" s="2">
        <f t="shared" si="1"/>
        <v>18.213173720406253</v>
      </c>
      <c r="Q13" s="2">
        <f t="shared" si="2"/>
        <v>23.916666666666668</v>
      </c>
    </row>
    <row r="14" spans="2:17" ht="13.8" x14ac:dyDescent="0.3">
      <c r="B14" s="12" t="s">
        <v>13</v>
      </c>
      <c r="C14" s="5">
        <v>28</v>
      </c>
      <c r="D14" s="5">
        <v>6</v>
      </c>
      <c r="E14" s="5">
        <v>27</v>
      </c>
      <c r="F14" s="5">
        <v>66</v>
      </c>
      <c r="G14" s="5">
        <v>0</v>
      </c>
      <c r="H14" s="5">
        <v>46</v>
      </c>
      <c r="I14" s="5">
        <v>22</v>
      </c>
      <c r="J14" s="5">
        <v>15</v>
      </c>
      <c r="K14" s="5">
        <v>13</v>
      </c>
      <c r="L14" s="5">
        <v>42</v>
      </c>
      <c r="M14" s="5">
        <v>16</v>
      </c>
      <c r="N14" s="14">
        <v>22</v>
      </c>
      <c r="O14" s="14">
        <f t="shared" si="0"/>
        <v>303</v>
      </c>
      <c r="P14" s="2">
        <f t="shared" si="1"/>
        <v>18.469261933375584</v>
      </c>
      <c r="Q14" s="2">
        <f t="shared" si="2"/>
        <v>25.25</v>
      </c>
    </row>
    <row r="15" spans="2:17" ht="13.8" x14ac:dyDescent="0.3">
      <c r="B15" s="12" t="s">
        <v>14</v>
      </c>
      <c r="C15" s="5">
        <v>51</v>
      </c>
      <c r="D15" s="5">
        <v>38</v>
      </c>
      <c r="E15" s="5">
        <v>27</v>
      </c>
      <c r="F15" s="5">
        <v>12</v>
      </c>
      <c r="G15" s="5">
        <v>0</v>
      </c>
      <c r="H15" s="5">
        <v>46</v>
      </c>
      <c r="I15" s="5">
        <v>22</v>
      </c>
      <c r="J15" s="5">
        <v>15</v>
      </c>
      <c r="K15" s="5">
        <v>12</v>
      </c>
      <c r="L15" s="5">
        <v>34</v>
      </c>
      <c r="M15" s="5">
        <v>16</v>
      </c>
      <c r="N15" s="14">
        <v>0</v>
      </c>
      <c r="O15" s="14">
        <f t="shared" si="0"/>
        <v>273</v>
      </c>
      <c r="P15" s="2">
        <f t="shared" si="1"/>
        <v>16.755596080116039</v>
      </c>
      <c r="Q15" s="2">
        <f t="shared" si="2"/>
        <v>22.75</v>
      </c>
    </row>
    <row r="16" spans="2:17" ht="13.8" x14ac:dyDescent="0.3">
      <c r="B16" s="12" t="s">
        <v>15</v>
      </c>
      <c r="C16" s="5">
        <v>10</v>
      </c>
      <c r="D16" s="5">
        <v>5</v>
      </c>
      <c r="E16" s="5">
        <v>2</v>
      </c>
      <c r="F16" s="5">
        <v>7</v>
      </c>
      <c r="G16" s="5">
        <v>1</v>
      </c>
      <c r="H16" s="5">
        <v>0</v>
      </c>
      <c r="I16" s="5">
        <v>2</v>
      </c>
      <c r="J16" s="5">
        <v>0</v>
      </c>
      <c r="K16" s="5">
        <v>15</v>
      </c>
      <c r="L16" s="5">
        <v>11</v>
      </c>
      <c r="M16" s="5">
        <v>3</v>
      </c>
      <c r="N16" s="14">
        <v>15</v>
      </c>
      <c r="O16" s="14">
        <f t="shared" si="0"/>
        <v>71</v>
      </c>
      <c r="P16" s="2">
        <f t="shared" si="1"/>
        <v>5.583389868551401</v>
      </c>
      <c r="Q16" s="2">
        <f t="shared" si="2"/>
        <v>5.916666666666667</v>
      </c>
    </row>
    <row r="17" spans="2:17" ht="13.8" x14ac:dyDescent="0.3">
      <c r="B17" s="12" t="s">
        <v>16</v>
      </c>
      <c r="C17" s="5">
        <v>14</v>
      </c>
      <c r="D17" s="5">
        <v>3</v>
      </c>
      <c r="E17" s="5">
        <v>2</v>
      </c>
      <c r="F17" s="5">
        <v>7</v>
      </c>
      <c r="G17" s="5">
        <v>10</v>
      </c>
      <c r="H17" s="5">
        <v>0</v>
      </c>
      <c r="I17" s="5">
        <v>5</v>
      </c>
      <c r="J17" s="5">
        <v>10</v>
      </c>
      <c r="K17" s="5">
        <v>3</v>
      </c>
      <c r="L17" s="5">
        <v>0</v>
      </c>
      <c r="M17" s="5">
        <v>0</v>
      </c>
      <c r="N17" s="14">
        <v>10</v>
      </c>
      <c r="O17" s="14">
        <f t="shared" si="0"/>
        <v>64</v>
      </c>
      <c r="P17" s="2">
        <f t="shared" si="1"/>
        <v>4.7736651315188405</v>
      </c>
      <c r="Q17" s="2">
        <f t="shared" si="2"/>
        <v>5.333333333333333</v>
      </c>
    </row>
    <row r="18" spans="2:17" ht="13.8" x14ac:dyDescent="0.3">
      <c r="B18" s="12" t="s">
        <v>17</v>
      </c>
      <c r="C18" s="5">
        <v>7</v>
      </c>
      <c r="D18" s="5">
        <v>2</v>
      </c>
      <c r="E18" s="5">
        <v>20</v>
      </c>
      <c r="F18" s="5">
        <v>0</v>
      </c>
      <c r="G18" s="5">
        <v>0</v>
      </c>
      <c r="H18" s="5">
        <v>0</v>
      </c>
      <c r="I18" s="5">
        <v>10</v>
      </c>
      <c r="J18" s="5">
        <v>2</v>
      </c>
      <c r="K18" s="5">
        <v>4</v>
      </c>
      <c r="L18" s="5">
        <v>11</v>
      </c>
      <c r="M18" s="5">
        <v>4</v>
      </c>
      <c r="N18" s="14">
        <v>22</v>
      </c>
      <c r="O18" s="14">
        <f t="shared" si="0"/>
        <v>82</v>
      </c>
      <c r="P18" s="2">
        <f t="shared" si="1"/>
        <v>7.5898656513841276</v>
      </c>
      <c r="Q18" s="2">
        <f t="shared" si="2"/>
        <v>6.833333333333333</v>
      </c>
    </row>
    <row r="19" spans="2:17" ht="13.8" x14ac:dyDescent="0.3">
      <c r="B19" s="12" t="s">
        <v>18</v>
      </c>
      <c r="C19" s="5">
        <v>20</v>
      </c>
      <c r="D19" s="5">
        <v>40</v>
      </c>
      <c r="E19" s="5">
        <v>2</v>
      </c>
      <c r="F19" s="5">
        <v>30</v>
      </c>
      <c r="G19" s="5">
        <v>10</v>
      </c>
      <c r="H19" s="5">
        <v>0</v>
      </c>
      <c r="I19" s="5">
        <v>20</v>
      </c>
      <c r="J19" s="5">
        <v>10</v>
      </c>
      <c r="K19" s="5">
        <v>5</v>
      </c>
      <c r="L19" s="5">
        <v>40</v>
      </c>
      <c r="M19" s="5">
        <v>20</v>
      </c>
      <c r="N19" s="14">
        <v>30</v>
      </c>
      <c r="O19" s="14">
        <f t="shared" si="0"/>
        <v>227</v>
      </c>
      <c r="P19" s="2">
        <f t="shared" si="1"/>
        <v>13.93137944832935</v>
      </c>
      <c r="Q19" s="2">
        <f t="shared" si="2"/>
        <v>18.916666666666668</v>
      </c>
    </row>
    <row r="20" spans="2:17" ht="13.8" x14ac:dyDescent="0.3">
      <c r="B20" s="12" t="s">
        <v>19</v>
      </c>
      <c r="C20" s="5">
        <v>16</v>
      </c>
      <c r="D20" s="5">
        <v>0</v>
      </c>
      <c r="E20" s="5">
        <v>8</v>
      </c>
      <c r="F20" s="5">
        <v>10</v>
      </c>
      <c r="G20" s="5">
        <v>0</v>
      </c>
      <c r="H20" s="5">
        <v>16</v>
      </c>
      <c r="I20" s="5">
        <v>32</v>
      </c>
      <c r="J20" s="5">
        <v>0</v>
      </c>
      <c r="K20" s="5">
        <v>0</v>
      </c>
      <c r="L20" s="5">
        <v>35</v>
      </c>
      <c r="M20" s="5">
        <v>16</v>
      </c>
      <c r="N20" s="14">
        <v>10</v>
      </c>
      <c r="O20" s="14">
        <f t="shared" si="0"/>
        <v>143</v>
      </c>
      <c r="P20" s="2">
        <f t="shared" si="1"/>
        <v>11.97313912915325</v>
      </c>
      <c r="Q20" s="2">
        <f t="shared" si="2"/>
        <v>11.916666666666666</v>
      </c>
    </row>
    <row r="21" spans="2:17" ht="13.8" x14ac:dyDescent="0.3">
      <c r="B21" s="12" t="s">
        <v>20</v>
      </c>
      <c r="C21" s="5">
        <v>6</v>
      </c>
      <c r="D21" s="5">
        <v>0</v>
      </c>
      <c r="E21" s="5">
        <v>0</v>
      </c>
      <c r="F21" s="5">
        <v>10</v>
      </c>
      <c r="G21" s="5">
        <v>0</v>
      </c>
      <c r="H21" s="5">
        <v>5</v>
      </c>
      <c r="I21" s="5">
        <v>5</v>
      </c>
      <c r="J21" s="5">
        <v>0</v>
      </c>
      <c r="K21" s="5">
        <v>0</v>
      </c>
      <c r="L21" s="5">
        <v>2</v>
      </c>
      <c r="M21" s="5">
        <v>6</v>
      </c>
      <c r="N21" s="14">
        <v>0</v>
      </c>
      <c r="O21" s="14">
        <f t="shared" si="0"/>
        <v>34</v>
      </c>
      <c r="P21" s="2">
        <f t="shared" si="1"/>
        <v>3.4333480435107053</v>
      </c>
      <c r="Q21" s="2">
        <f t="shared" si="2"/>
        <v>2.8333333333333335</v>
      </c>
    </row>
    <row r="22" spans="2:17" ht="14.4" thickBot="1" x14ac:dyDescent="0.35">
      <c r="B22" s="15" t="s">
        <v>21</v>
      </c>
      <c r="C22" s="16">
        <v>0</v>
      </c>
      <c r="D22" s="16">
        <v>0</v>
      </c>
      <c r="E22" s="16">
        <v>12</v>
      </c>
      <c r="F22" s="16">
        <v>0</v>
      </c>
      <c r="G22" s="16">
        <v>0</v>
      </c>
      <c r="H22" s="16">
        <v>12</v>
      </c>
      <c r="I22" s="16">
        <v>0</v>
      </c>
      <c r="J22" s="16">
        <v>0</v>
      </c>
      <c r="K22" s="16">
        <v>5</v>
      </c>
      <c r="L22" s="16">
        <v>0</v>
      </c>
      <c r="M22" s="16">
        <v>12</v>
      </c>
      <c r="N22" s="17">
        <v>6</v>
      </c>
      <c r="O22" s="17">
        <f t="shared" si="0"/>
        <v>47</v>
      </c>
      <c r="P22" s="2">
        <f t="shared" si="1"/>
        <v>5.2993710318615479</v>
      </c>
      <c r="Q22" s="2">
        <f t="shared" si="2"/>
        <v>3.9166666666666665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Demand</vt:lpstr>
    </vt:vector>
  </TitlesOfParts>
  <Company>Koc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esancak</dc:creator>
  <cp:lastModifiedBy>Hossein Torkinezhadirani</cp:lastModifiedBy>
  <dcterms:created xsi:type="dcterms:W3CDTF">2009-04-27T19:37:08Z</dcterms:created>
  <dcterms:modified xsi:type="dcterms:W3CDTF">2024-04-21T09:05:29Z</dcterms:modified>
</cp:coreProperties>
</file>